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pense_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19" customWidth="1" min="8" max="8"/>
  </cols>
  <sheetData>
    <row r="1" ht="25" customHeight="1">
      <c r="A1" s="1" t="inlineStr">
        <is>
          <t>8(a-d). PAO, Civil Suspense &amp; RBS (Annexure C)</t>
        </is>
      </c>
    </row>
    <row r="3" ht="28" customHeight="1">
      <c r="A3" s="2" t="inlineStr">
        <is>
          <t>Head of Account</t>
        </is>
      </c>
      <c r="B3" s="2" t="inlineStr">
        <is>
          <t>Opening Balance</t>
        </is>
      </c>
      <c r="C3" s="2" t="inlineStr">
        <is>
          <t>Addition</t>
        </is>
      </c>
      <c r="D3" s="2" t="inlineStr">
        <is>
          <t>Total</t>
        </is>
      </c>
      <c r="E3" s="2" t="inlineStr">
        <is>
          <t>Clearance</t>
        </is>
      </c>
      <c r="F3" s="2" t="inlineStr">
        <is>
          <t>% Clearance</t>
        </is>
      </c>
      <c r="G3" s="2" t="inlineStr">
        <is>
          <t>Old Amt Cleared %</t>
        </is>
      </c>
      <c r="H3" s="2" t="inlineStr">
        <is>
          <t>Closing Balance</t>
        </is>
      </c>
    </row>
    <row r="4" ht="20" customHeight="1">
      <c r="A4" s="3" t="inlineStr">
        <is>
          <t>8658-101- PAO Suspense (Dr)</t>
        </is>
      </c>
      <c r="B4" s="4" t="n">
        <v>0</v>
      </c>
      <c r="C4" s="4" t="n">
        <v>0</v>
      </c>
      <c r="D4" s="5">
        <f>B4+C4</f>
        <v/>
      </c>
      <c r="E4" s="4" t="n">
        <v>0</v>
      </c>
      <c r="F4" s="5">
        <f>IF(D4&gt;0,ROUND((E4/D4)*100,2),0)</f>
        <v/>
      </c>
      <c r="G4" s="4" t="n">
        <v>0</v>
      </c>
      <c r="H4" s="5">
        <f>D4-E4</f>
        <v/>
      </c>
    </row>
    <row r="5" ht="20" customHeight="1">
      <c r="A5" s="3" t="inlineStr">
        <is>
          <t>8658-101- PAO Suspense (Cr)</t>
        </is>
      </c>
      <c r="B5" s="4" t="n">
        <v>0</v>
      </c>
      <c r="C5" s="4" t="n">
        <v>0</v>
      </c>
      <c r="D5" s="5">
        <f>B5+C5</f>
        <v/>
      </c>
      <c r="E5" s="4" t="n">
        <v>0</v>
      </c>
      <c r="F5" s="5">
        <f>IF(D5&gt;0,ROUND((E5/D5)*100,2),0)</f>
        <v/>
      </c>
      <c r="G5" s="4" t="n">
        <v>0</v>
      </c>
      <c r="H5" s="5">
        <f>D5-E5</f>
        <v/>
      </c>
    </row>
    <row r="6" ht="20" customHeight="1">
      <c r="A6" s="3" t="inlineStr">
        <is>
          <t>8658-102- Suspense Civil (Dr)</t>
        </is>
      </c>
      <c r="B6" s="4" t="n">
        <v>0</v>
      </c>
      <c r="C6" s="4" t="n">
        <v>0</v>
      </c>
      <c r="D6" s="5">
        <f>B6+C6</f>
        <v/>
      </c>
      <c r="E6" s="4" t="n">
        <v>0</v>
      </c>
      <c r="F6" s="5">
        <f>IF(D6&gt;0,ROUND((E6/D6)*100,2),0)</f>
        <v/>
      </c>
      <c r="G6" s="4" t="n">
        <v>0</v>
      </c>
      <c r="H6" s="5">
        <f>D6-E6</f>
        <v/>
      </c>
    </row>
    <row r="7" ht="20" customHeight="1">
      <c r="A7" s="3" t="inlineStr">
        <is>
          <t>8658-102- Suspense Civil (Cr)</t>
        </is>
      </c>
      <c r="B7" s="4" t="n">
        <v>0</v>
      </c>
      <c r="C7" s="4" t="n">
        <v>0</v>
      </c>
      <c r="D7" s="5">
        <f>B7+C7</f>
        <v/>
      </c>
      <c r="E7" s="4" t="n">
        <v>0</v>
      </c>
      <c r="F7" s="5">
        <f>IF(D7&gt;0,ROUND((E7/D7)*100,2),0)</f>
        <v/>
      </c>
      <c r="G7" s="4" t="n">
        <v>0</v>
      </c>
      <c r="H7" s="5">
        <f>D7-E7</f>
        <v/>
      </c>
    </row>
    <row r="8" ht="20" customHeight="1">
      <c r="A8" s="3" t="inlineStr">
        <is>
          <t>8658-109-RBS HQ (Dr)</t>
        </is>
      </c>
      <c r="B8" s="4" t="n">
        <v>0</v>
      </c>
      <c r="C8" s="4" t="n">
        <v>0</v>
      </c>
      <c r="D8" s="5">
        <f>B8+C8</f>
        <v/>
      </c>
      <c r="E8" s="4" t="n">
        <v>0</v>
      </c>
      <c r="F8" s="5">
        <f>IF(D8&gt;0,ROUND((E8/D8)*100,2),0)</f>
        <v/>
      </c>
      <c r="G8" s="4" t="n">
        <v>0</v>
      </c>
      <c r="H8" s="5">
        <f>D8-E8</f>
        <v/>
      </c>
    </row>
    <row r="9" ht="20" customHeight="1">
      <c r="A9" s="3" t="inlineStr">
        <is>
          <t>8658-109-RBS HQ (Cr)</t>
        </is>
      </c>
      <c r="B9" s="4" t="n">
        <v>0</v>
      </c>
      <c r="C9" s="4" t="n">
        <v>0</v>
      </c>
      <c r="D9" s="5">
        <f>B9+C9</f>
        <v/>
      </c>
      <c r="E9" s="4" t="n">
        <v>0</v>
      </c>
      <c r="F9" s="5">
        <f>IF(D9&gt;0,ROUND((E9/D9)*100,2),0)</f>
        <v/>
      </c>
      <c r="G9" s="4" t="n">
        <v>0</v>
      </c>
      <c r="H9" s="5">
        <f>D9-E9</f>
        <v/>
      </c>
    </row>
    <row r="10" ht="20" customHeight="1">
      <c r="A10" s="3" t="inlineStr">
        <is>
          <t>8658-110-RBS CAO (Dr)</t>
        </is>
      </c>
      <c r="B10" s="4" t="n">
        <v>0</v>
      </c>
      <c r="C10" s="4" t="n">
        <v>0</v>
      </c>
      <c r="D10" s="5">
        <f>B10+C10</f>
        <v/>
      </c>
      <c r="E10" s="4" t="n">
        <v>0</v>
      </c>
      <c r="F10" s="5">
        <f>IF(D10&gt;0,ROUND((E10/D10)*100,2),0)</f>
        <v/>
      </c>
      <c r="G10" s="4" t="n">
        <v>0</v>
      </c>
      <c r="H10" s="5">
        <f>D10-E10</f>
        <v/>
      </c>
    </row>
    <row r="11" ht="20" customHeight="1">
      <c r="A11" s="3" t="inlineStr">
        <is>
          <t>8658-110-RBS CAO (Cr)</t>
        </is>
      </c>
      <c r="B11" s="4" t="n">
        <v>0</v>
      </c>
      <c r="C11" s="4" t="n">
        <v>0</v>
      </c>
      <c r="D11" s="5">
        <f>B11+C11</f>
        <v/>
      </c>
      <c r="E11" s="4" t="n">
        <v>0</v>
      </c>
      <c r="F11" s="5">
        <f>IF(D11&gt;0,ROUND((E11/D11)*100,2),0)</f>
        <v/>
      </c>
      <c r="G11" s="4" t="n">
        <v>0</v>
      </c>
      <c r="H11" s="5">
        <f>D11-E11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