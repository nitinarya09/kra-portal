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_RTI" sheetId="1" state="visible" r:id="rId1"/>
    <sheet xmlns:r="http://schemas.openxmlformats.org/officeDocument/2006/relationships" name="Court_Cases" sheetId="2" state="visible" r:id="rId2"/>
    <sheet xmlns:r="http://schemas.openxmlformats.org/officeDocument/2006/relationships" name="Court_AgeWise" sheetId="3" state="visible" r:id="rId3"/>
    <sheet xmlns:r="http://schemas.openxmlformats.org/officeDocument/2006/relationships" name="Staff_Streng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9" customWidth="1" min="5" max="5"/>
    <col width="18" customWidth="1" min="6" max="6"/>
    <col width="20" customWidth="1" min="7" max="7"/>
    <col width="18" customWidth="1" min="8" max="8"/>
  </cols>
  <sheetData>
    <row r="1" ht="25" customHeight="1">
      <c r="A1" s="1" t="inlineStr">
        <is>
          <t>Annexure T: Complaints &amp; RTI</t>
        </is>
      </c>
    </row>
    <row r="3" ht="28" customHeight="1">
      <c r="A3" s="2" t="inlineStr">
        <is>
          <t>Type</t>
        </is>
      </c>
      <c r="B3" s="2" t="inlineStr">
        <is>
          <t>OB</t>
        </is>
      </c>
      <c r="C3" s="2" t="inlineStr">
        <is>
          <t>Received</t>
        </is>
      </c>
      <c r="D3" s="2" t="inlineStr">
        <is>
          <t>Disposed in time</t>
        </is>
      </c>
      <c r="E3" s="2" t="inlineStr">
        <is>
          <t>Disposed beyond</t>
        </is>
      </c>
      <c r="F3" s="2" t="inlineStr">
        <is>
          <t>CB</t>
        </is>
      </c>
      <c r="G3" s="2" t="inlineStr">
        <is>
          <t>Reason for Delay</t>
        </is>
      </c>
      <c r="H3" s="2" t="inlineStr">
        <is>
          <t>Categories</t>
        </is>
      </c>
    </row>
    <row r="4" ht="20" customHeight="1">
      <c r="A4" s="3" t="inlineStr">
        <is>
          <t>Direct Complaints</t>
        </is>
      </c>
      <c r="B4" s="4" t="n">
        <v>0</v>
      </c>
      <c r="C4" s="4" t="n">
        <v>0</v>
      </c>
      <c r="D4" s="4" t="n">
        <v>0</v>
      </c>
      <c r="E4" s="4" t="n">
        <v>0</v>
      </c>
      <c r="F4" s="5">
        <f>D4-E4</f>
        <v/>
      </c>
      <c r="G4" s="4" t="inlineStr"/>
      <c r="H4" s="4" t="inlineStr"/>
    </row>
    <row r="5" ht="20" customHeight="1">
      <c r="A5" s="3" t="inlineStr">
        <is>
          <t>CAG Complaints</t>
        </is>
      </c>
      <c r="B5" s="4" t="n">
        <v>0</v>
      </c>
      <c r="C5" s="4" t="n">
        <v>0</v>
      </c>
      <c r="D5" s="4" t="n">
        <v>0</v>
      </c>
      <c r="E5" s="4" t="n">
        <v>0</v>
      </c>
      <c r="F5" s="5">
        <f>D5-E5</f>
        <v/>
      </c>
      <c r="G5" s="4" t="inlineStr"/>
      <c r="H5" s="4" t="inlineStr"/>
    </row>
    <row r="6" ht="20" customHeight="1">
      <c r="A6" s="3" t="inlineStr">
        <is>
          <t>RTI Cases</t>
        </is>
      </c>
      <c r="B6" s="4" t="n">
        <v>0</v>
      </c>
      <c r="C6" s="4" t="n">
        <v>0</v>
      </c>
      <c r="D6" s="4" t="n">
        <v>0</v>
      </c>
      <c r="E6" s="4" t="n">
        <v>0</v>
      </c>
      <c r="F6" s="5">
        <f>D6-E6</f>
        <v/>
      </c>
      <c r="G6" s="4" t="inlineStr"/>
      <c r="H6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Annexure T: Court Cases</t>
        </is>
      </c>
    </row>
    <row r="3" ht="28" customHeight="1">
      <c r="A3" s="2" t="inlineStr">
        <is>
          <t>Court Type</t>
        </is>
      </c>
      <c r="B3" s="2" t="inlineStr">
        <is>
          <t>OB</t>
        </is>
      </c>
      <c r="C3" s="2" t="inlineStr">
        <is>
          <t>Added</t>
        </is>
      </c>
      <c r="D3" s="2" t="inlineStr">
        <is>
          <t>Decided</t>
        </is>
      </c>
      <c r="E3" s="2" t="inlineStr">
        <is>
          <t>CB</t>
        </is>
      </c>
      <c r="F3" s="2" t="inlineStr">
        <is>
          <t>Categories</t>
        </is>
      </c>
    </row>
    <row r="4" ht="20" customHeight="1">
      <c r="A4" s="3" t="inlineStr">
        <is>
          <t>Supreme Court</t>
        </is>
      </c>
      <c r="B4" s="4" t="n">
        <v>0</v>
      </c>
      <c r="C4" s="4" t="n">
        <v>0</v>
      </c>
      <c r="D4" s="4" t="n">
        <v>0</v>
      </c>
      <c r="E4" s="5">
        <f>D4-E4</f>
        <v/>
      </c>
      <c r="F4" s="4" t="inlineStr"/>
    </row>
    <row r="5" ht="20" customHeight="1">
      <c r="A5" s="3" t="inlineStr">
        <is>
          <t>High Court</t>
        </is>
      </c>
      <c r="B5" s="4" t="n">
        <v>0</v>
      </c>
      <c r="C5" s="4" t="n">
        <v>0</v>
      </c>
      <c r="D5" s="4" t="n">
        <v>0</v>
      </c>
      <c r="E5" s="5">
        <f>D5-E5</f>
        <v/>
      </c>
      <c r="F5" s="4" t="inlineStr"/>
    </row>
    <row r="6" ht="20" customHeight="1">
      <c r="A6" s="3" t="inlineStr">
        <is>
          <t>CAT</t>
        </is>
      </c>
      <c r="B6" s="4" t="n">
        <v>0</v>
      </c>
      <c r="C6" s="4" t="n">
        <v>0</v>
      </c>
      <c r="D6" s="4" t="n">
        <v>0</v>
      </c>
      <c r="E6" s="5">
        <f>D6-E6</f>
        <v/>
      </c>
      <c r="F6" s="4" t="inlineStr"/>
    </row>
    <row r="7" ht="20" customHeight="1">
      <c r="A7" s="3" t="inlineStr">
        <is>
          <t>Subordinate/Lower Courts</t>
        </is>
      </c>
      <c r="B7" s="4" t="n">
        <v>0</v>
      </c>
      <c r="C7" s="4" t="n">
        <v>0</v>
      </c>
      <c r="D7" s="4" t="n">
        <v>0</v>
      </c>
      <c r="E7" s="5">
        <f>D7-E7</f>
        <v/>
      </c>
      <c r="F7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5" customHeight="1">
      <c r="A1" s="1" t="inlineStr">
        <is>
          <t>Age-wise Court Cases</t>
        </is>
      </c>
    </row>
    <row r="3" ht="28" customHeight="1">
      <c r="A3" s="2" t="inlineStr">
        <is>
          <t>Age</t>
        </is>
      </c>
      <c r="B3" s="2" t="inlineStr">
        <is>
          <t>Total Cases</t>
        </is>
      </c>
      <c r="C3" s="2" t="inlineStr">
        <is>
          <t>Remarks</t>
        </is>
      </c>
    </row>
    <row r="4" ht="20" customHeight="1">
      <c r="A4" s="3" t="inlineStr">
        <is>
          <t>More than 10 years old</t>
        </is>
      </c>
      <c r="B4" s="4" t="n">
        <v>0</v>
      </c>
      <c r="C4" s="4" t="inlineStr"/>
    </row>
    <row r="5" ht="20" customHeight="1">
      <c r="A5" s="3" t="inlineStr">
        <is>
          <t>Between 5-10 years old</t>
        </is>
      </c>
      <c r="B5" s="4" t="n">
        <v>0</v>
      </c>
      <c r="C5" s="4" t="inlineStr"/>
    </row>
    <row r="6" ht="20" customHeight="1">
      <c r="A6" s="3" t="inlineStr">
        <is>
          <t>Between 2-5 years old</t>
        </is>
      </c>
      <c r="B6" s="4" t="n">
        <v>0</v>
      </c>
      <c r="C6" s="4" t="inlineStr"/>
    </row>
    <row r="7" ht="20" customHeight="1">
      <c r="A7" s="3" t="inlineStr">
        <is>
          <t>Less than 2 years old</t>
        </is>
      </c>
      <c r="B7" s="4" t="n">
        <v>0</v>
      </c>
      <c r="C7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SS vs PIP (Cadre-wise)</t>
        </is>
      </c>
    </row>
    <row r="3" ht="28" customHeight="1">
      <c r="A3" s="2" t="inlineStr">
        <is>
          <t>Cadre</t>
        </is>
      </c>
      <c r="B3" s="2" t="inlineStr">
        <is>
          <t>SS</t>
        </is>
      </c>
      <c r="C3" s="2" t="inlineStr">
        <is>
          <t>PIP</t>
        </is>
      </c>
      <c r="D3" s="2" t="inlineStr">
        <is>
          <t>Vacancy %</t>
        </is>
      </c>
    </row>
    <row r="4" ht="20" customHeight="1">
      <c r="A4" s="3" t="inlineStr">
        <is>
          <t>Sr. Accounts Officer</t>
        </is>
      </c>
      <c r="B4" s="4" t="n">
        <v>0</v>
      </c>
      <c r="C4" s="4" t="n">
        <v>0</v>
      </c>
      <c r="D4" s="5">
        <f>IF(B4&gt;0,ROUND(((B4-C4)/B4)*100,2),0)</f>
        <v/>
      </c>
    </row>
    <row r="5" ht="20" customHeight="1">
      <c r="A5" s="3" t="inlineStr">
        <is>
          <t>Asstt. Accounts Officer</t>
        </is>
      </c>
      <c r="B5" s="4" t="n">
        <v>0</v>
      </c>
      <c r="C5" s="4" t="n">
        <v>0</v>
      </c>
      <c r="D5" s="5">
        <f>IF(B5&gt;0,ROUND(((B5-C5)/B5)*100,2),0)</f>
        <v/>
      </c>
    </row>
    <row r="6" ht="20" customHeight="1">
      <c r="A6" s="3" t="inlineStr">
        <is>
          <t>Supervisor</t>
        </is>
      </c>
      <c r="B6" s="4" t="n">
        <v>0</v>
      </c>
      <c r="C6" s="4" t="n">
        <v>0</v>
      </c>
      <c r="D6" s="5">
        <f>IF(B6&gt;0,ROUND(((B6-C6)/B6)*100,2),0)</f>
        <v/>
      </c>
    </row>
    <row r="7" ht="20" customHeight="1">
      <c r="A7" s="3" t="inlineStr">
        <is>
          <t>Asstt. Supervisor</t>
        </is>
      </c>
      <c r="B7" s="4" t="n">
        <v>0</v>
      </c>
      <c r="C7" s="4" t="n">
        <v>0</v>
      </c>
      <c r="D7" s="5">
        <f>IF(B7&gt;0,ROUND(((B7-C7)/B7)*100,2),0)</f>
        <v/>
      </c>
    </row>
    <row r="8" ht="20" customHeight="1">
      <c r="A8" s="3" t="inlineStr">
        <is>
          <t>Welfare Assistant</t>
        </is>
      </c>
      <c r="B8" s="4" t="n">
        <v>0</v>
      </c>
      <c r="C8" s="4" t="n">
        <v>0</v>
      </c>
      <c r="D8" s="5">
        <f>IF(B8&gt;0,ROUND(((B8-C8)/B8)*100,2),0)</f>
        <v/>
      </c>
    </row>
    <row r="9" ht="20" customHeight="1">
      <c r="A9" s="3" t="inlineStr">
        <is>
          <t>Sr.PS/PS/PA/Steno</t>
        </is>
      </c>
      <c r="B9" s="4" t="n">
        <v>0</v>
      </c>
      <c r="C9" s="4" t="n">
        <v>0</v>
      </c>
      <c r="D9" s="5">
        <f>IF(B9&gt;0,ROUND(((B9-C9)/B9)*100,2),0)</f>
        <v/>
      </c>
    </row>
    <row r="10" ht="20" customHeight="1">
      <c r="A10" s="3" t="inlineStr">
        <is>
          <t>Sr. Accountant</t>
        </is>
      </c>
      <c r="B10" s="4" t="n">
        <v>0</v>
      </c>
      <c r="C10" s="4" t="n">
        <v>0</v>
      </c>
      <c r="D10" s="5">
        <f>IF(B10&gt;0,ROUND(((B10-C10)/B10)*100,2),0)</f>
        <v/>
      </c>
    </row>
    <row r="11" ht="20" customHeight="1">
      <c r="A11" s="3" t="inlineStr">
        <is>
          <t>Accountant</t>
        </is>
      </c>
      <c r="B11" s="4" t="n">
        <v>0</v>
      </c>
      <c r="C11" s="4" t="n">
        <v>0</v>
      </c>
      <c r="D11" s="5">
        <f>IF(B11&gt;0,ROUND(((B11-C11)/B11)*100,2),0)</f>
        <v/>
      </c>
    </row>
    <row r="12" ht="20" customHeight="1">
      <c r="A12" s="3" t="inlineStr">
        <is>
          <t>ISM Grade-II</t>
        </is>
      </c>
      <c r="B12" s="4" t="n">
        <v>0</v>
      </c>
      <c r="C12" s="4" t="n">
        <v>0</v>
      </c>
      <c r="D12" s="5">
        <f>IF(B12&gt;0,ROUND(((B12-C12)/B12)*100,2),0)</f>
        <v/>
      </c>
    </row>
    <row r="13" ht="20" customHeight="1">
      <c r="A13" s="3" t="inlineStr">
        <is>
          <t>ISM Grade-I</t>
        </is>
      </c>
      <c r="B13" s="4" t="n">
        <v>0</v>
      </c>
      <c r="C13" s="4" t="n">
        <v>0</v>
      </c>
      <c r="D13" s="5">
        <f>IF(B13&gt;0,ROUND(((B13-C13)/B13)*100,2),0)</f>
        <v/>
      </c>
    </row>
    <row r="14" ht="20" customHeight="1">
      <c r="A14" s="3" t="inlineStr">
        <is>
          <t>DEO Grade-D</t>
        </is>
      </c>
      <c r="B14" s="4" t="n">
        <v>0</v>
      </c>
      <c r="C14" s="4" t="n">
        <v>0</v>
      </c>
      <c r="D14" s="5">
        <f>IF(B14&gt;0,ROUND(((B14-C14)/B14)*100,2),0)</f>
        <v/>
      </c>
    </row>
    <row r="15" ht="20" customHeight="1">
      <c r="A15" s="3" t="inlineStr">
        <is>
          <t>DEO Grade-B</t>
        </is>
      </c>
      <c r="B15" s="4" t="n">
        <v>0</v>
      </c>
      <c r="C15" s="4" t="n">
        <v>0</v>
      </c>
      <c r="D15" s="5">
        <f>IF(B15&gt;0,ROUND(((B15-C15)/B15)*100,2),0)</f>
        <v/>
      </c>
    </row>
    <row r="16" ht="20" customHeight="1">
      <c r="A16" s="3" t="inlineStr">
        <is>
          <t>DEO Grade-A</t>
        </is>
      </c>
      <c r="B16" s="4" t="n">
        <v>0</v>
      </c>
      <c r="C16" s="4" t="n">
        <v>0</v>
      </c>
      <c r="D16" s="5">
        <f>IF(B16&gt;0,ROUND(((B16-C16)/B16)*100,2),0)</f>
        <v/>
      </c>
    </row>
    <row r="17" ht="20" customHeight="1">
      <c r="A17" s="3" t="inlineStr">
        <is>
          <t>Admn. Asstt. (AA)</t>
        </is>
      </c>
      <c r="B17" s="4" t="n">
        <v>0</v>
      </c>
      <c r="C17" s="4" t="n">
        <v>0</v>
      </c>
      <c r="D17" s="5">
        <f>IF(B17&gt;0,ROUND(((B17-C17)/B17)*100,2),0)</f>
        <v/>
      </c>
    </row>
    <row r="18" ht="20" customHeight="1">
      <c r="A18" s="3" t="inlineStr">
        <is>
          <t>AC Asstt. Grade-II</t>
        </is>
      </c>
      <c r="B18" s="4" t="n">
        <v>0</v>
      </c>
      <c r="C18" s="4" t="n">
        <v>0</v>
      </c>
      <c r="D18" s="5">
        <f>IF(B18&gt;0,ROUND(((B18-C18)/B18)*100,2),0)</f>
        <v/>
      </c>
    </row>
    <row r="19" ht="20" customHeight="1">
      <c r="A19" s="3" t="inlineStr">
        <is>
          <t>AC Asstt. Grade-I</t>
        </is>
      </c>
      <c r="B19" s="4" t="n">
        <v>0</v>
      </c>
      <c r="C19" s="4" t="n">
        <v>0</v>
      </c>
      <c r="D19" s="5">
        <f>IF(B19&gt;0,ROUND(((B19-C19)/B19)*100,2),0)</f>
        <v/>
      </c>
    </row>
    <row r="20" ht="20" customHeight="1">
      <c r="A20" s="3" t="inlineStr">
        <is>
          <t>Clerks</t>
        </is>
      </c>
      <c r="B20" s="4" t="n">
        <v>0</v>
      </c>
      <c r="C20" s="4" t="n">
        <v>0</v>
      </c>
      <c r="D20" s="5">
        <f>IF(B20&gt;0,ROUND(((B20-C20)/B20)*100,2),0)</f>
        <v/>
      </c>
    </row>
    <row r="21" ht="20" customHeight="1">
      <c r="A21" s="3" t="inlineStr">
        <is>
          <t>Asstt. Dir (OL)</t>
        </is>
      </c>
      <c r="B21" s="4" t="n">
        <v>0</v>
      </c>
      <c r="C21" s="4" t="n">
        <v>0</v>
      </c>
      <c r="D21" s="5">
        <f>IF(B21&gt;0,ROUND(((B21-C21)/B21)*100,2),0)</f>
        <v/>
      </c>
    </row>
    <row r="22" ht="20" customHeight="1">
      <c r="A22" s="3" t="inlineStr">
        <is>
          <t>Sr. Translator</t>
        </is>
      </c>
      <c r="B22" s="4" t="n">
        <v>0</v>
      </c>
      <c r="C22" s="4" t="n">
        <v>0</v>
      </c>
      <c r="D22" s="5">
        <f>IF(B22&gt;0,ROUND(((B22-C22)/B22)*100,2),0)</f>
        <v/>
      </c>
    </row>
    <row r="23" ht="20" customHeight="1">
      <c r="A23" s="3" t="inlineStr">
        <is>
          <t>Jr. Translator</t>
        </is>
      </c>
      <c r="B23" s="4" t="n">
        <v>0</v>
      </c>
      <c r="C23" s="4" t="n">
        <v>0</v>
      </c>
      <c r="D23" s="5">
        <f>IF(B23&gt;0,ROUND(((B23-C23)/B23)*100,2),0)</f>
        <v/>
      </c>
    </row>
    <row r="24" ht="20" customHeight="1">
      <c r="A24" s="3" t="inlineStr">
        <is>
          <t>Car Driver</t>
        </is>
      </c>
      <c r="B24" s="4" t="n">
        <v>0</v>
      </c>
      <c r="C24" s="4" t="n">
        <v>0</v>
      </c>
      <c r="D24" s="5">
        <f>IF(B24&gt;0,ROUND(((B24-C24)/B24)*100,2),0)</f>
        <v/>
      </c>
    </row>
    <row r="25" ht="20" customHeight="1">
      <c r="A25" s="3" t="inlineStr">
        <is>
          <t>Legal Assistant</t>
        </is>
      </c>
      <c r="B25" s="4" t="n">
        <v>0</v>
      </c>
      <c r="C25" s="4" t="n">
        <v>0</v>
      </c>
      <c r="D25" s="5">
        <f>IF(B25&gt;0,ROUND(((B25-C25)/B25)*100,2),0)</f>
        <v/>
      </c>
    </row>
    <row r="26" ht="20" customHeight="1">
      <c r="A26" s="3" t="inlineStr">
        <is>
          <t>Canteen Attendant</t>
        </is>
      </c>
      <c r="B26" s="4" t="n">
        <v>0</v>
      </c>
      <c r="C26" s="4" t="n">
        <v>0</v>
      </c>
      <c r="D26" s="5">
        <f>IF(B26&gt;0,ROUND(((B26-C26)/B26)*100,2),0)</f>
        <v/>
      </c>
    </row>
    <row r="27" ht="20" customHeight="1">
      <c r="A27" s="3" t="inlineStr">
        <is>
          <t>Multi Tasking Staff</t>
        </is>
      </c>
      <c r="B27" s="4" t="n">
        <v>0</v>
      </c>
      <c r="C27" s="4" t="n">
        <v>0</v>
      </c>
      <c r="D27" s="5">
        <f>IF(B27&gt;0,ROUND(((B27-C27)/B27)*100,2),0)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