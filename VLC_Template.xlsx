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MS_Online" sheetId="1" state="visible" r:id="rId1"/>
    <sheet xmlns:r="http://schemas.openxmlformats.org/officeDocument/2006/relationships" name="ARU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22" customWidth="1" min="5" max="5"/>
    <col width="18" customWidth="1" min="6" max="6"/>
  </cols>
  <sheetData>
    <row r="1" ht="25" customHeight="1">
      <c r="A1" s="1" t="inlineStr">
        <is>
          <t>15. IFMS – Online ARU Receipt (Annexure Z)</t>
        </is>
      </c>
    </row>
    <row r="3" ht="28" customHeight="1">
      <c r="A3" s="2" t="inlineStr">
        <is>
          <t>Source</t>
        </is>
      </c>
      <c r="B3" s="2" t="inlineStr">
        <is>
          <t>Total ARU</t>
        </is>
      </c>
      <c r="C3" s="2" t="inlineStr">
        <is>
          <t>Online Received</t>
        </is>
      </c>
      <c r="D3" s="2" t="inlineStr">
        <is>
          <t>% Online</t>
        </is>
      </c>
      <c r="E3" s="2" t="inlineStr">
        <is>
          <t>Yet to send online</t>
        </is>
      </c>
      <c r="F3" s="2" t="inlineStr">
        <is>
          <t>Remarks</t>
        </is>
      </c>
    </row>
    <row r="4" ht="20" customHeight="1">
      <c r="A4" s="3" t="inlineStr">
        <is>
          <t>Treasuries</t>
        </is>
      </c>
      <c r="B4" s="4" t="n">
        <v>0</v>
      </c>
      <c r="C4" s="4" t="n">
        <v>0</v>
      </c>
      <c r="D4" s="5">
        <f>IF(B4&gt;0,ROUND((C4/B4)*100,2),0)</f>
        <v/>
      </c>
      <c r="E4" s="4" t="n">
        <v>0</v>
      </c>
      <c r="F4" s="4" t="inlineStr"/>
    </row>
    <row r="5" ht="20" customHeight="1">
      <c r="A5" s="3" t="inlineStr">
        <is>
          <t>PWD</t>
        </is>
      </c>
      <c r="B5" s="4" t="n">
        <v>0</v>
      </c>
      <c r="C5" s="4" t="n">
        <v>0</v>
      </c>
      <c r="D5" s="5">
        <f>IF(B5&gt;0,ROUND((C5/B5)*100,2),0)</f>
        <v/>
      </c>
      <c r="E5" s="4" t="n">
        <v>0</v>
      </c>
      <c r="F5" s="4" t="inlineStr"/>
    </row>
    <row r="6" ht="20" customHeight="1">
      <c r="A6" s="3" t="inlineStr">
        <is>
          <t>RES/Forest</t>
        </is>
      </c>
      <c r="B6" s="4" t="n">
        <v>0</v>
      </c>
      <c r="C6" s="4" t="n">
        <v>0</v>
      </c>
      <c r="D6" s="5">
        <f>IF(B6&gt;0,ROUND((C6/B6)*100,2),0)</f>
        <v/>
      </c>
      <c r="E6" s="4" t="n">
        <v>0</v>
      </c>
      <c r="F6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5" customHeight="1">
      <c r="A1" s="1" t="inlineStr">
        <is>
          <t>Annexure Y: ARU Statistical Information</t>
        </is>
      </c>
    </row>
    <row r="3" ht="28" customHeight="1">
      <c r="A3" s="2" t="inlineStr">
        <is>
          <t>Category</t>
        </is>
      </c>
      <c r="B3" s="2" t="inlineStr">
        <is>
          <t>Numbers</t>
        </is>
      </c>
    </row>
    <row r="4" ht="20" customHeight="1">
      <c r="A4" s="3" t="inlineStr">
        <is>
          <t>Treasuries</t>
        </is>
      </c>
      <c r="B4" s="4" t="n">
        <v>0</v>
      </c>
    </row>
    <row r="5" ht="20" customHeight="1">
      <c r="A5" s="3" t="inlineStr">
        <is>
          <t>Sub-treasuries</t>
        </is>
      </c>
      <c r="B5" s="4" t="n">
        <v>0</v>
      </c>
    </row>
    <row r="6" ht="20" customHeight="1">
      <c r="A6" s="3" t="inlineStr">
        <is>
          <t>Total vouchers during Qtr from ARUs</t>
        </is>
      </c>
      <c r="B6" s="4" t="n">
        <v>0</v>
      </c>
    </row>
    <row r="7" ht="20" customHeight="1">
      <c r="A7" s="3" t="inlineStr">
        <is>
          <t>Total challans/SOR during Qtr</t>
        </is>
      </c>
      <c r="B7" s="4" t="n">
        <v>0</v>
      </c>
    </row>
    <row r="8" ht="20" customHeight="1">
      <c r="A8" s="3" t="inlineStr">
        <is>
          <t>PW Divisions</t>
        </is>
      </c>
      <c r="B8" s="4" t="n">
        <v>0</v>
      </c>
    </row>
    <row r="9" ht="20" customHeight="1">
      <c r="A9" s="3" t="inlineStr">
        <is>
          <t>Public Health Divisions</t>
        </is>
      </c>
      <c r="B9" s="4" t="n">
        <v>0</v>
      </c>
    </row>
    <row r="10" ht="20" customHeight="1">
      <c r="A10" s="3" t="inlineStr">
        <is>
          <t>Forest Divisions</t>
        </is>
      </c>
      <c r="B10" s="4" t="n">
        <v>0</v>
      </c>
    </row>
    <row r="11" ht="20" customHeight="1">
      <c r="A11" s="3" t="inlineStr">
        <is>
          <t>Irrigation Divisions</t>
        </is>
      </c>
      <c r="B11" s="4" t="n">
        <v>0</v>
      </c>
    </row>
    <row r="12" ht="20" customHeight="1">
      <c r="A12" s="3" t="inlineStr">
        <is>
          <t>RES/Other Divisions (Narmada Valley)</t>
        </is>
      </c>
      <c r="B12" s="4" t="n">
        <v>0</v>
      </c>
    </row>
    <row r="13" ht="20" customHeight="1">
      <c r="A13" s="3" t="inlineStr">
        <is>
          <t>Number of CCOs/BCOs</t>
        </is>
      </c>
      <c r="B13" s="4" t="n">
        <v>0</v>
      </c>
    </row>
    <row r="14" ht="20" customHeight="1">
      <c r="A14" s="3" t="inlineStr">
        <is>
          <t>Number of DDOs</t>
        </is>
      </c>
      <c r="B14" s="4" t="n">
        <v>0</v>
      </c>
    </row>
    <row r="15" ht="20" customHeight="1">
      <c r="A15" s="3" t="inlineStr">
        <is>
          <t>Non-banking treasuries/Sub-treasuries</t>
        </is>
      </c>
      <c r="B15" s="4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