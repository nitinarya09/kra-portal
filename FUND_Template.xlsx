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F_FinalPayment" sheetId="1" state="visible" r:id="rId1"/>
    <sheet xmlns:r="http://schemas.openxmlformats.org/officeDocument/2006/relationships" name="GPF_RB" sheetId="2" state="visible" r:id="rId2"/>
    <sheet xmlns:r="http://schemas.openxmlformats.org/officeDocument/2006/relationships" name="GPF_MissingCredits" sheetId="3" state="visible" r:id="rId3"/>
    <sheet xmlns:r="http://schemas.openxmlformats.org/officeDocument/2006/relationships" name="GPF_UnpostedCredits" sheetId="4" state="visible" r:id="rId4"/>
    <sheet xmlns:r="http://schemas.openxmlformats.org/officeDocument/2006/relationships" name="GPF_Complaints" sheetId="5" state="visible" r:id="rId5"/>
    <sheet xmlns:r="http://schemas.openxmlformats.org/officeDocument/2006/relationships" name="GPF_PostingArrears" sheetId="6" state="visible" r:id="rId6"/>
    <sheet xmlns:r="http://schemas.openxmlformats.org/officeDocument/2006/relationships" name="GPF_MinusBalances" sheetId="7" state="visible" r:id="rId7"/>
    <sheet xmlns:r="http://schemas.openxmlformats.org/officeDocument/2006/relationships" name="GPF_PFSuspense" sheetId="8" state="visible" r:id="rId8"/>
    <sheet xmlns:r="http://schemas.openxmlformats.org/officeDocument/2006/relationships" name="GPF_DP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1(a). Final Payment Cases (Annexure H)</t>
        </is>
      </c>
    </row>
    <row r="3" ht="28" customHeight="1">
      <c r="A3" s="2" t="inlineStr">
        <is>
          <t>OB</t>
        </is>
      </c>
      <c r="B3" s="2" t="inlineStr">
        <is>
          <t>Addition</t>
        </is>
      </c>
      <c r="C3" s="2" t="inlineStr">
        <is>
          <t>Total</t>
        </is>
      </c>
      <c r="D3" s="2" t="inlineStr">
        <is>
          <t>Clearance</t>
        </is>
      </c>
      <c r="E3" s="2" t="inlineStr">
        <is>
          <t>% Clearance</t>
        </is>
      </c>
      <c r="F3" s="2" t="inlineStr">
        <is>
          <t>CB</t>
        </is>
      </c>
    </row>
    <row r="4" ht="22" customHeight="1">
      <c r="A4" s="3" t="n">
        <v>0</v>
      </c>
      <c r="B4" s="3" t="n">
        <v>0</v>
      </c>
      <c r="C4" s="4">
        <f>A4+B4</f>
        <v/>
      </c>
      <c r="D4" s="3" t="n">
        <v>0</v>
      </c>
      <c r="E4" s="4">
        <f>IF(C4&gt;0,ROUND((D4/C4)*100,2),0)</f>
        <v/>
      </c>
      <c r="F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1(b). Residual Balance Cases</t>
        </is>
      </c>
    </row>
    <row r="3" ht="28" customHeight="1">
      <c r="A3" s="2" t="inlineStr">
        <is>
          <t>OB</t>
        </is>
      </c>
      <c r="B3" s="2" t="inlineStr">
        <is>
          <t>Addition</t>
        </is>
      </c>
      <c r="C3" s="2" t="inlineStr">
        <is>
          <t>Total</t>
        </is>
      </c>
      <c r="D3" s="2" t="inlineStr">
        <is>
          <t>Clearance</t>
        </is>
      </c>
      <c r="E3" s="2" t="inlineStr">
        <is>
          <t>% Clearance</t>
        </is>
      </c>
      <c r="F3" s="2" t="inlineStr">
        <is>
          <t>CB</t>
        </is>
      </c>
    </row>
    <row r="4" ht="22" customHeight="1">
      <c r="A4" s="3" t="n">
        <v>0</v>
      </c>
      <c r="B4" s="3" t="n">
        <v>0</v>
      </c>
      <c r="C4" s="4">
        <f>A4+B4</f>
        <v/>
      </c>
      <c r="D4" s="3" t="n">
        <v>0</v>
      </c>
      <c r="E4" s="4">
        <f>IF(C4&gt;0,ROUND((D4/C4)*100,2),0)</f>
        <v/>
      </c>
      <c r="F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</cols>
  <sheetData>
    <row r="1" ht="25" customHeight="1">
      <c r="A1" s="1" t="inlineStr">
        <is>
          <t>2(a). Missing Credits (Annexure I)</t>
        </is>
      </c>
    </row>
    <row r="3" ht="28" customHeight="1">
      <c r="A3" s="2" t="inlineStr">
        <is>
          <t>Annual Target</t>
        </is>
      </c>
      <c r="B3" s="2" t="inlineStr">
        <is>
          <t>OB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of Quarterly Target</t>
        </is>
      </c>
      <c r="G3" s="2" t="inlineStr">
        <is>
          <t>CB</t>
        </is>
      </c>
    </row>
    <row r="4" ht="22" customHeight="1">
      <c r="A4" s="3" t="n">
        <v>0</v>
      </c>
      <c r="B4" s="3" t="n">
        <v>0</v>
      </c>
      <c r="C4" s="3" t="n">
        <v>0</v>
      </c>
      <c r="D4" s="4">
        <f>A4+B4</f>
        <v/>
      </c>
      <c r="E4" s="3" t="n">
        <v>0</v>
      </c>
      <c r="F4" s="3" t="n">
        <v>0</v>
      </c>
      <c r="G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</cols>
  <sheetData>
    <row r="1" ht="25" customHeight="1">
      <c r="A1" s="1" t="inlineStr">
        <is>
          <t>2(a). Unposted Credits (Annexure J)</t>
        </is>
      </c>
    </row>
    <row r="3" ht="28" customHeight="1">
      <c r="A3" s="2" t="inlineStr">
        <is>
          <t>Annual Target</t>
        </is>
      </c>
      <c r="B3" s="2" t="inlineStr">
        <is>
          <t>OB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of Quarterly Target</t>
        </is>
      </c>
      <c r="G3" s="2" t="inlineStr">
        <is>
          <t>CB</t>
        </is>
      </c>
    </row>
    <row r="4" ht="22" customHeight="1">
      <c r="A4" s="3" t="n">
        <v>0</v>
      </c>
      <c r="B4" s="3" t="n">
        <v>0</v>
      </c>
      <c r="C4" s="3" t="n">
        <v>0</v>
      </c>
      <c r="D4" s="4">
        <f>A4+B4</f>
        <v/>
      </c>
      <c r="E4" s="3" t="n">
        <v>0</v>
      </c>
      <c r="F4" s="3" t="n">
        <v>0</v>
      </c>
      <c r="G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4. GPF Complaint Cases</t>
        </is>
      </c>
    </row>
    <row r="3" ht="28" customHeight="1">
      <c r="A3" s="2" t="inlineStr">
        <is>
          <t>OB</t>
        </is>
      </c>
      <c r="B3" s="2" t="inlineStr">
        <is>
          <t>Addition</t>
        </is>
      </c>
      <c r="C3" s="2" t="inlineStr">
        <is>
          <t>Total</t>
        </is>
      </c>
      <c r="D3" s="2" t="inlineStr">
        <is>
          <t>Clearance</t>
        </is>
      </c>
      <c r="E3" s="2" t="inlineStr">
        <is>
          <t>% Clearance</t>
        </is>
      </c>
      <c r="F3" s="2" t="inlineStr">
        <is>
          <t>CB</t>
        </is>
      </c>
    </row>
    <row r="4" ht="22" customHeight="1">
      <c r="A4" s="3" t="n">
        <v>0</v>
      </c>
      <c r="B4" s="3" t="n">
        <v>0</v>
      </c>
      <c r="C4" s="4">
        <f>A4+B4</f>
        <v/>
      </c>
      <c r="D4" s="3" t="n">
        <v>0</v>
      </c>
      <c r="E4" s="4">
        <f>IF(C4&gt;0,ROUND((D4/C4)*100,2),0)</f>
        <v/>
      </c>
      <c r="F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5. Arrears in posting of GPF Accounts</t>
        </is>
      </c>
    </row>
    <row r="3" ht="28" customHeight="1">
      <c r="A3" s="2" t="inlineStr">
        <is>
          <t>Parameter</t>
        </is>
      </c>
      <c r="B3" s="2" t="inlineStr">
        <is>
          <t>Value</t>
        </is>
      </c>
    </row>
    <row r="4" ht="20" customHeight="1">
      <c r="A4" s="5" t="inlineStr">
        <is>
          <t>Months Due</t>
        </is>
      </c>
      <c r="B4" s="3" t="inlineStr"/>
    </row>
    <row r="5" ht="20" customHeight="1">
      <c r="A5" s="5" t="inlineStr">
        <is>
          <t>Posting done upto</t>
        </is>
      </c>
      <c r="B5" s="3" t="inlineStr"/>
    </row>
    <row r="6" ht="20" customHeight="1">
      <c r="A6" s="5" t="inlineStr">
        <is>
          <t>Posting in Arrears</t>
        </is>
      </c>
      <c r="B6" s="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6. Clearance of Minus Balances (Annexure L)</t>
        </is>
      </c>
    </row>
    <row r="3" ht="28" customHeight="1">
      <c r="A3" s="2" t="inlineStr">
        <is>
          <t>Annual Target</t>
        </is>
      </c>
      <c r="B3" s="2" t="inlineStr">
        <is>
          <t>OB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Clearance</t>
        </is>
      </c>
      <c r="G3" s="2" t="inlineStr">
        <is>
          <t>CB</t>
        </is>
      </c>
    </row>
    <row r="4" ht="22" customHeight="1">
      <c r="A4" s="3" t="n">
        <v>0</v>
      </c>
      <c r="B4" s="3" t="n">
        <v>0</v>
      </c>
      <c r="C4" s="3" t="n">
        <v>0</v>
      </c>
      <c r="D4" s="4">
        <f>A4+B4</f>
        <v/>
      </c>
      <c r="E4" s="3" t="n">
        <v>0</v>
      </c>
      <c r="F4" s="4">
        <f>IF(C4&gt;0,ROUND((D4/C4)*100,2),0)</f>
        <v/>
      </c>
      <c r="G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3. PF Suspense (Credit &amp; Debit)</t>
        </is>
      </c>
    </row>
    <row r="3" ht="28" customHeight="1">
      <c r="A3" s="2" t="inlineStr">
        <is>
          <t>Type</t>
        </is>
      </c>
      <c r="B3" s="2" t="inlineStr">
        <is>
          <t>OB</t>
        </is>
      </c>
      <c r="C3" s="2" t="inlineStr">
        <is>
          <t>Addition</t>
        </is>
      </c>
      <c r="D3" s="2" t="inlineStr">
        <is>
          <t>Clearance</t>
        </is>
      </c>
      <c r="E3" s="2" t="inlineStr">
        <is>
          <t>% Clearance</t>
        </is>
      </c>
      <c r="F3" s="2" t="inlineStr">
        <is>
          <t>CB</t>
        </is>
      </c>
    </row>
    <row r="4" ht="20" customHeight="1">
      <c r="A4" s="5" t="inlineStr">
        <is>
          <t>PF Suspense (Credit)</t>
        </is>
      </c>
      <c r="B4" s="3" t="n">
        <v>0</v>
      </c>
      <c r="C4" s="3" t="n">
        <v>0</v>
      </c>
      <c r="D4" s="3" t="n">
        <v>0</v>
      </c>
      <c r="E4" s="4">
        <f>IF(D4&gt;0,ROUND((E4/D4)*100,2),0)</f>
        <v/>
      </c>
      <c r="F4" s="4">
        <f>D4-E4</f>
        <v/>
      </c>
    </row>
    <row r="5" ht="20" customHeight="1">
      <c r="A5" s="5" t="inlineStr">
        <is>
          <t>PF Suspense (Debit)</t>
        </is>
      </c>
      <c r="B5" s="3" t="n">
        <v>0</v>
      </c>
      <c r="C5" s="3" t="n">
        <v>0</v>
      </c>
      <c r="D5" s="3" t="n">
        <v>0</v>
      </c>
      <c r="E5" s="4">
        <f>IF(D5&gt;0,ROUND((E5/D5)*100,2),0)</f>
        <v/>
      </c>
      <c r="F5" s="4">
        <f>D5-E5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DPF: Departmental Provident Fund</t>
        </is>
      </c>
    </row>
    <row r="3" ht="28" customHeight="1">
      <c r="A3" s="2" t="inlineStr">
        <is>
          <t>OB</t>
        </is>
      </c>
      <c r="B3" s="2" t="inlineStr">
        <is>
          <t>Addition</t>
        </is>
      </c>
      <c r="C3" s="2" t="inlineStr">
        <is>
          <t>Total</t>
        </is>
      </c>
      <c r="D3" s="2" t="inlineStr">
        <is>
          <t>Clearance</t>
        </is>
      </c>
      <c r="E3" s="2" t="inlineStr">
        <is>
          <t>CB</t>
        </is>
      </c>
    </row>
    <row r="4" ht="22" customHeight="1">
      <c r="A4" s="3" t="n">
        <v>0</v>
      </c>
      <c r="B4" s="3" t="n">
        <v>0</v>
      </c>
      <c r="C4" s="4">
        <f>A4+B4</f>
        <v/>
      </c>
      <c r="D4" s="3" t="n">
        <v>0</v>
      </c>
      <c r="E4" s="4">
        <f>C4-D4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